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/>
  <mc:AlternateContent xmlns:mc="http://schemas.openxmlformats.org/markup-compatibility/2006">
    <mc:Choice Requires="x15">
      <x15ac:absPath xmlns:x15ac="http://schemas.microsoft.com/office/spreadsheetml/2010/11/ac" url="D:\MSc statistics\Internship\Start-Tech Academy\"/>
    </mc:Choice>
  </mc:AlternateContent>
  <xr:revisionPtr revIDLastSave="0" documentId="13_ncr:1_{284CCF15-B02F-48E8-B208-B92EE9F482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6" r:id="rId1"/>
    <sheet name="P &amp; L" sheetId="1" r:id="rId2"/>
    <sheet name="Net profit Line Chart" sheetId="2" r:id="rId3"/>
    <sheet name="Revenue column chart" sheetId="3" r:id="rId4"/>
    <sheet name="Cost analysis Pie chart" sheetId="4" r:id="rId5"/>
    <sheet name="Target Bar charts" sheetId="5" r:id="rId6"/>
  </sheets>
  <definedNames>
    <definedName name="_xlnm._FilterDatabase" localSheetId="4" hidden="1">'Cost analysis Pie chart'!$B$5:$C$5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j7RgKLrC2YtI1tEV/D8UC39p01ug=="/>
    </ext>
  </extLst>
</workbook>
</file>

<file path=xl/calcChain.xml><?xml version="1.0" encoding="utf-8"?>
<calcChain xmlns="http://schemas.openxmlformats.org/spreadsheetml/2006/main">
  <c r="E8" i="5" l="1"/>
  <c r="E7" i="5"/>
  <c r="C18" i="4"/>
  <c r="C10" i="4" s="1"/>
  <c r="C17" i="1"/>
  <c r="C16" i="1"/>
</calcChain>
</file>

<file path=xl/sharedStrings.xml><?xml version="1.0" encoding="utf-8"?>
<sst xmlns="http://schemas.openxmlformats.org/spreadsheetml/2006/main" count="42" uniqueCount="32">
  <si>
    <t>P &amp; L statement 2020</t>
  </si>
  <si>
    <t>Sales Revenue</t>
  </si>
  <si>
    <t>Less: Cost of Goods Sold</t>
  </si>
  <si>
    <t>Gross Margin</t>
  </si>
  <si>
    <t>Expenses:</t>
  </si>
  <si>
    <t>Advertising</t>
  </si>
  <si>
    <t>Depreciation</t>
  </si>
  <si>
    <t>Interest</t>
  </si>
  <si>
    <t>Other</t>
  </si>
  <si>
    <t>Payroll</t>
  </si>
  <si>
    <t>Utilities</t>
  </si>
  <si>
    <t>Net Income before Taxes</t>
  </si>
  <si>
    <t>Income Tax</t>
  </si>
  <si>
    <t>Net Income</t>
  </si>
  <si>
    <t>Profit and Profit Margin</t>
  </si>
  <si>
    <t>Net Profit</t>
  </si>
  <si>
    <t>Net Profit Margin</t>
  </si>
  <si>
    <t xml:space="preserve">Historical Revenue </t>
  </si>
  <si>
    <t>Year</t>
  </si>
  <si>
    <t>Revenue</t>
  </si>
  <si>
    <t>Projected</t>
  </si>
  <si>
    <t>Expense Breakup</t>
  </si>
  <si>
    <t>Costs</t>
  </si>
  <si>
    <t>Value</t>
  </si>
  <si>
    <t>Cost of Goods Sold</t>
  </si>
  <si>
    <t>Other Expense Breakup</t>
  </si>
  <si>
    <t>Main expenditure item Target vs achieved</t>
  </si>
  <si>
    <t>Expenditure</t>
  </si>
  <si>
    <t>Target</t>
  </si>
  <si>
    <t>YTD</t>
  </si>
  <si>
    <t>Achieved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</si>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</sst>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4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/>
    <xf numFmtId="0" fontId="2" fillId="0" borderId="1" xfId="0" applyFont="1" applyBorder="1"/>
    <xf numFmtId="164" fontId="3" fillId="0" borderId="2" xfId="0" applyNumberFormat="1" applyFont="1" applyBorder="1"/>
    <xf numFmtId="0" fontId="3" fillId="0" borderId="3" xfId="0" applyFont="1" applyBorder="1"/>
    <xf numFmtId="164" fontId="3" fillId="0" borderId="4" xfId="0" applyNumberFormat="1" applyFont="1" applyBorder="1"/>
    <xf numFmtId="0" fontId="2" fillId="0" borderId="3" xfId="0" applyFont="1" applyBorder="1"/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/>
    <xf numFmtId="164" fontId="3" fillId="0" borderId="6" xfId="0" applyNumberFormat="1" applyFont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1" fontId="3" fillId="0" borderId="10" xfId="0" applyNumberFormat="1" applyFont="1" applyBorder="1"/>
    <xf numFmtId="9" fontId="3" fillId="0" borderId="4" xfId="0" applyNumberFormat="1" applyFont="1" applyBorder="1"/>
    <xf numFmtId="0" fontId="3" fillId="0" borderId="5" xfId="0" applyFont="1" applyBorder="1"/>
    <xf numFmtId="1" fontId="3" fillId="0" borderId="11" xfId="0" applyNumberFormat="1" applyFont="1" applyBorder="1"/>
    <xf numFmtId="9" fontId="3" fillId="0" borderId="6" xfId="0" applyNumberFormat="1" applyFont="1" applyBorder="1"/>
    <xf numFmtId="0" fontId="3" fillId="2" borderId="12" xfId="0" applyFont="1" applyFill="1" applyBorder="1"/>
    <xf numFmtId="0" fontId="3" fillId="2" borderId="13" xfId="0" applyFont="1" applyFill="1" applyBorder="1"/>
    <xf numFmtId="1" fontId="3" fillId="0" borderId="4" xfId="0" applyNumberFormat="1" applyFont="1" applyBorder="1"/>
    <xf numFmtId="0" fontId="3" fillId="3" borderId="14" xfId="0" applyFont="1" applyFill="1" applyBorder="1"/>
    <xf numFmtId="0" fontId="3" fillId="3" borderId="15" xfId="0" applyFont="1" applyFill="1" applyBorder="1"/>
    <xf numFmtId="1" fontId="3" fillId="3" borderId="16" xfId="0" applyNumberFormat="1" applyFont="1" applyFill="1" applyBorder="1"/>
    <xf numFmtId="0" fontId="3" fillId="4" borderId="17" xfId="0" applyFont="1" applyFill="1" applyBorder="1"/>
    <xf numFmtId="0" fontId="3" fillId="4" borderId="18" xfId="0" applyFont="1" applyFill="1" applyBorder="1"/>
    <xf numFmtId="0" fontId="3" fillId="0" borderId="19" xfId="0" applyFont="1" applyBorder="1"/>
    <xf numFmtId="164" fontId="3" fillId="0" borderId="20" xfId="0" applyNumberFormat="1" applyFont="1" applyBorder="1"/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4" fontId="3" fillId="0" borderId="22" xfId="0" applyNumberFormat="1" applyFont="1" applyBorder="1"/>
    <xf numFmtId="0" fontId="2" fillId="0" borderId="0" xfId="0" applyFont="1"/>
    <xf numFmtId="0" fontId="3" fillId="0" borderId="23" xfId="0" applyFont="1" applyBorder="1" applyAlignment="1">
      <alignment horizontal="center" vertical="center"/>
    </xf>
    <xf numFmtId="164" fontId="3" fillId="0" borderId="24" xfId="0" applyNumberFormat="1" applyFont="1" applyBorder="1"/>
    <xf numFmtId="0" fontId="3" fillId="4" borderId="12" xfId="0" applyFont="1" applyFill="1" applyBorder="1"/>
    <xf numFmtId="0" fontId="3" fillId="4" borderId="25" xfId="0" applyFont="1" applyFill="1" applyBorder="1"/>
    <xf numFmtId="0" fontId="3" fillId="4" borderId="13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20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Profit</a:t>
            </a:r>
            <a:r>
              <a:rPr lang="en-IN" sz="20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 and Profit Margin</a:t>
            </a:r>
            <a:endParaRPr lang="en-IN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gradFill flip="none" rotWithShape="1">
          <a:gsLst>
            <a:gs pos="0">
              <a:srgbClr val="7030A0">
                <a:tint val="66000"/>
                <a:satMod val="160000"/>
              </a:srgbClr>
            </a:gs>
            <a:gs pos="50000">
              <a:srgbClr val="7030A0">
                <a:tint val="44500"/>
                <a:satMod val="160000"/>
              </a:srgbClr>
            </a:gs>
            <a:gs pos="100000">
              <a:srgbClr val="7030A0">
                <a:tint val="23500"/>
                <a:satMod val="160000"/>
              </a:srgbClr>
            </a:gs>
          </a:gsLst>
          <a:lin ang="2700000" scaled="1"/>
          <a:tileRect/>
        </a:gradFill>
        <a:ln w="12700" cap="flat" cmpd="sng" algn="ctr">
          <a:solidFill>
            <a:schemeClr val="accent1">
              <a:lumMod val="75000"/>
            </a:schemeClr>
          </a:solidFill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'Net profit Line Chart'!$C$5</c:f>
              <c:strCache>
                <c:ptCount val="1"/>
                <c:pt idx="0">
                  <c:v>Net Profit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'Net profit Line Chart'!$B$6:$B$11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'Net profit Line Chart'!$C$6:$C$11</c:f>
              <c:numCache>
                <c:formatCode>0</c:formatCode>
                <c:ptCount val="6"/>
                <c:pt idx="0">
                  <c:v>155075.59355813666</c:v>
                </c:pt>
                <c:pt idx="1">
                  <c:v>193189.15111382809</c:v>
                </c:pt>
                <c:pt idx="2">
                  <c:v>182970.15906718749</c:v>
                </c:pt>
                <c:pt idx="3">
                  <c:v>202514.90428125</c:v>
                </c:pt>
                <c:pt idx="4">
                  <c:v>182098.951875</c:v>
                </c:pt>
                <c:pt idx="5">
                  <c:v>215285.21250000002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F-495A-AE8F-81A11C1A6851}"/>
            </c:ext>
          </c:extLst>
        </c:ser>
        <c:ser>
          <c:idx val="1"/>
          <c:order val="1"/>
          <c:tx>
            <c:strRef>
              <c:f>'Net profit Line Chart'!$D$5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'Net profit Line Chart'!$B$6:$B$11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'Net profit Line Chart'!$D$6:$D$11</c:f>
              <c:numCache>
                <c:formatCode>0%</c:formatCode>
                <c:ptCount val="6"/>
                <c:pt idx="0">
                  <c:v>0.08</c:v>
                </c:pt>
                <c:pt idx="1">
                  <c:v>0.09</c:v>
                </c:pt>
                <c:pt idx="2">
                  <c:v>0.11</c:v>
                </c:pt>
                <c:pt idx="3">
                  <c:v>0.115</c:v>
                </c:pt>
                <c:pt idx="4">
                  <c:v>0.11</c:v>
                </c:pt>
                <c:pt idx="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F-495A-AE8F-81A11C1A685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9645984"/>
        <c:axId val="1269652640"/>
      </c:lineChart>
      <c:catAx>
        <c:axId val="126964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52640"/>
        <c:crosses val="autoZero"/>
        <c:auto val="1"/>
        <c:lblAlgn val="ctr"/>
        <c:lblOffset val="100"/>
        <c:noMultiLvlLbl val="0"/>
      </c:catAx>
      <c:valAx>
        <c:axId val="1269652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26964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2000" b="1" cap="none" spc="0">
                <a:ln w="0"/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Historical Revenue</a:t>
            </a:r>
            <a:endParaRPr lang="en-IN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gradFill flip="none" rotWithShape="1">
          <a:gsLst>
            <a:gs pos="0">
              <a:srgbClr val="7030A0">
                <a:tint val="66000"/>
                <a:satMod val="160000"/>
              </a:srgbClr>
            </a:gs>
            <a:gs pos="50000">
              <a:srgbClr val="7030A0">
                <a:tint val="44500"/>
                <a:satMod val="160000"/>
              </a:srgbClr>
            </a:gs>
            <a:gs pos="100000">
              <a:srgbClr val="7030A0">
                <a:tint val="23500"/>
                <a:satMod val="160000"/>
              </a:srgbClr>
            </a:gs>
          </a:gsLst>
          <a:path path="circle">
            <a:fillToRect l="100000" t="100000"/>
          </a:path>
          <a:tileRect r="-100000" b="-100000"/>
        </a:gra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column chart'!$C$6:$C$11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'Revenue column chart'!$D$6:$D$11</c:f>
              <c:numCache>
                <c:formatCode>0</c:formatCode>
                <c:ptCount val="6"/>
                <c:pt idx="0">
                  <c:v>1653633.8787718401</c:v>
                </c:pt>
                <c:pt idx="1">
                  <c:v>1986831.8247520002</c:v>
                </c:pt>
                <c:pt idx="2">
                  <c:v>1997534.6356000002</c:v>
                </c:pt>
                <c:pt idx="3">
                  <c:v>2187475.4300000002</c:v>
                </c:pt>
                <c:pt idx="4">
                  <c:v>2439535.25</c:v>
                </c:pt>
                <c:pt idx="5">
                  <c:v>2584736.1081360602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C-4AC8-8437-ACA4DCBD1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468960"/>
        <c:axId val="1427466048"/>
      </c:barChart>
      <c:catAx>
        <c:axId val="142746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66048"/>
        <c:crosses val="autoZero"/>
        <c:auto val="1"/>
        <c:lblAlgn val="ctr"/>
        <c:lblOffset val="100"/>
        <c:noMultiLvlLbl val="0"/>
      </c:catAx>
      <c:valAx>
        <c:axId val="14274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20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Expens</a:t>
            </a:r>
            <a:r>
              <a:rPr lang="en-IN" sz="2000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e Breakup</a:t>
            </a:r>
            <a:endParaRPr lang="en-IN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gradFill flip="none" rotWithShape="1">
          <a:gsLst>
            <a:gs pos="0">
              <a:srgbClr val="7030A0">
                <a:tint val="66000"/>
                <a:satMod val="160000"/>
              </a:srgbClr>
            </a:gs>
            <a:gs pos="50000">
              <a:srgbClr val="7030A0">
                <a:tint val="44500"/>
                <a:satMod val="160000"/>
              </a:srgbClr>
            </a:gs>
            <a:gs pos="100000">
              <a:srgbClr val="7030A0">
                <a:tint val="23500"/>
                <a:satMod val="160000"/>
              </a:srgbClr>
            </a:gs>
          </a:gsLst>
          <a:lin ang="2700000" scaled="1"/>
          <a:tileRect/>
        </a:gradFill>
        <a:ln w="12700" cap="flat" cmpd="sng" algn="ctr">
          <a:solidFill>
            <a:srgbClr val="7030A0"/>
          </a:solidFill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22-4B29-B270-F285EBA79B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22-4B29-B270-F285EBA79B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22-4B29-B270-F285EBA79B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22-4B29-B270-F285EBA79B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22-4B29-B270-F285EBA79B94}"/>
              </c:ext>
            </c:extLst>
          </c:dPt>
          <c:dLbls>
            <c:dLbl>
              <c:idx val="4"/>
              <c:layout>
                <c:manualLayout>
                  <c:x val="3.4571522309711236E-2"/>
                  <c:y val="0.13939413823272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22-4B29-B270-F285EBA79B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'Cost analysis Pie chart'!$B$6:$B$10</c:f>
              <c:strCache>
                <c:ptCount val="5"/>
                <c:pt idx="0">
                  <c:v>Cost of Goods Sold</c:v>
                </c:pt>
                <c:pt idx="1">
                  <c:v>Advertising</c:v>
                </c:pt>
                <c:pt idx="2">
                  <c:v>Payroll</c:v>
                </c:pt>
                <c:pt idx="3">
                  <c:v>Interest</c:v>
                </c:pt>
                <c:pt idx="4">
                  <c:v>Other</c:v>
                </c:pt>
              </c:strCache>
            </c:strRef>
          </c:cat>
          <c:val>
            <c:numRef>
              <c:f>'Cost analysis Pie chart'!$C$6:$C$10</c:f>
              <c:numCache>
                <c:formatCode>_ * #,##0_ ;_ * \-#,##0_ ;_ * "-"??_ ;_ @_ </c:formatCode>
                <c:ptCount val="5"/>
                <c:pt idx="0">
                  <c:v>1188534.6000000001</c:v>
                </c:pt>
                <c:pt idx="1">
                  <c:v>390371.02500000002</c:v>
                </c:pt>
                <c:pt idx="2">
                  <c:v>323869.92499999999</c:v>
                </c:pt>
                <c:pt idx="3">
                  <c:v>80847.349999999991</c:v>
                </c:pt>
                <c:pt idx="4">
                  <c:v>180115.4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9-4BC8-911A-FFD4F274D2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2000" b="1" cap="none" spc="0">
                <a:ln w="0"/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Target</a:t>
            </a:r>
            <a:r>
              <a:rPr lang="en-IN" sz="2000" b="1" cap="none" spc="0" baseline="0">
                <a:ln w="0"/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 Vs achieved</a:t>
            </a:r>
            <a:endParaRPr lang="en-IN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36262489063867015"/>
          <c:y val="2.3148148148148147E-2"/>
        </c:manualLayout>
      </c:layout>
      <c:overlay val="0"/>
      <c:spPr>
        <a:gradFill flip="none" rotWithShape="1">
          <a:gsLst>
            <a:gs pos="0">
              <a:srgbClr val="7030A0">
                <a:tint val="66000"/>
                <a:satMod val="160000"/>
              </a:srgbClr>
            </a:gs>
            <a:gs pos="50000">
              <a:srgbClr val="7030A0">
                <a:tint val="44500"/>
                <a:satMod val="160000"/>
              </a:srgbClr>
            </a:gs>
            <a:gs pos="100000">
              <a:srgbClr val="7030A0">
                <a:tint val="23500"/>
                <a:satMod val="160000"/>
              </a:srgbClr>
            </a:gs>
          </a:gsLst>
          <a:lin ang="2700000" scaled="1"/>
          <a:tileRect/>
        </a:gradFill>
        <a:ln w="12700" cap="flat" cmpd="sng" algn="ctr">
          <a:solidFill>
            <a:sysClr val="windowText" lastClr="000000"/>
          </a:solidFill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'Target Bar charts'!$B$7</c:f>
              <c:strCache>
                <c:ptCount val="1"/>
                <c:pt idx="0">
                  <c:v>Advertising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'Target Bar charts'!$C$7:$D$7</c:f>
              <c:numCache>
                <c:formatCode>General</c:formatCode>
                <c:ptCount val="2"/>
                <c:pt idx="0">
                  <c:v>300000</c:v>
                </c:pt>
                <c:pt idx="1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4-4BE2-A111-63280FEBF4C9}"/>
            </c:ext>
          </c:extLst>
        </c:ser>
        <c:ser>
          <c:idx val="1"/>
          <c:order val="1"/>
          <c:tx>
            <c:strRef>
              <c:f>'Target Bar charts'!$B$8</c:f>
              <c:strCache>
                <c:ptCount val="1"/>
                <c:pt idx="0">
                  <c:v>Payroll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'Target Bar charts'!$C$8:$D$8</c:f>
              <c:numCache>
                <c:formatCode>General</c:formatCode>
                <c:ptCount val="2"/>
                <c:pt idx="0">
                  <c:v>270000</c:v>
                </c:pt>
                <c:pt idx="1">
                  <c:v>165000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94-4BE2-A111-63280FEBF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479360"/>
        <c:axId val="1427478944"/>
      </c:barChart>
      <c:catAx>
        <c:axId val="1427479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78944"/>
        <c:crosses val="autoZero"/>
        <c:auto val="1"/>
        <c:lblAlgn val="ctr"/>
        <c:lblOffset val="100"/>
        <c:noMultiLvlLbl val="0"/>
      </c:catAx>
      <c:valAx>
        <c:axId val="14274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248045</xdr:colOff>
      <xdr:row>3</xdr:row>
      <xdr:rowOff>39687</xdr:rowOff>
    </xdr:from>
    <xdr:to>
      <xdr:col>16</xdr:col>
      <xdr:colOff>396874</xdr:colOff>
      <xdr:row>10</xdr:row>
      <xdr:rowOff>151918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C10BB-87FC-46AB-A7E1-5B3BA0116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445" y="611187"/>
          <a:ext cx="7464029" cy="1445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317500</xdr:colOff>
      <xdr:row>11</xdr:row>
      <xdr:rowOff>0</xdr:rowOff>
    </xdr:from>
    <xdr:to>
      <xdr:col>16</xdr:col>
      <xdr:colOff>436563</xdr:colOff>
      <xdr:row>33</xdr:row>
      <xdr:rowOff>138906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D65102-716B-4034-900A-47C0C7505EDB}"/>
            </a:ext>
          </a:extLst>
        </xdr:cNvPr>
        <xdr:cNvSpPr txBox="1"/>
      </xdr:nvSpPr>
      <xdr:spPr>
        <a:xfrm>
          <a:off x="2755900" y="2095500"/>
          <a:ext cx="7434263" cy="432990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 b="1">
              <a:latin typeface="Times New Roman" panose="02020603050405020304" pitchFamily="18" charset="0"/>
              <a:cs typeface="Times New Roman" panose="02020603050405020304" pitchFamily="18" charset="0"/>
            </a:rPr>
            <a:t>Step</a:t>
          </a:r>
          <a:r>
            <a:rPr lang="en-IN" sz="3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Internship Program </a:t>
          </a:r>
        </a:p>
        <a:p>
          <a:pPr algn="ctr"/>
          <a:r>
            <a:rPr lang="en-IN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Data Analytics Internship</a:t>
          </a:r>
        </a:p>
        <a:p>
          <a:pPr algn="l"/>
          <a:r>
            <a:rPr lang="en-IN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</a:t>
          </a:r>
        </a:p>
        <a:p>
          <a:pPr algn="l"/>
          <a:r>
            <a:rPr lang="en-IN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Name: Anushree K</a:t>
          </a:r>
        </a:p>
        <a:p>
          <a:pPr algn="l"/>
          <a:r>
            <a:rPr lang="en-IN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</a:t>
          </a:r>
        </a:p>
        <a:p>
          <a:pPr algn="l"/>
          <a:r>
            <a:rPr lang="en-IN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Task 2 : Problem Statement 1</a:t>
          </a:r>
        </a:p>
        <a:p>
          <a:pPr algn="l"/>
          <a:r>
            <a:rPr lang="en-IN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</a:t>
          </a:r>
        </a:p>
        <a:p>
          <a:pPr algn="l"/>
          <a:r>
            <a:rPr lang="en-IN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</a:t>
          </a:r>
        </a:p>
        <a:p>
          <a:pPr algn="l"/>
          <a:r>
            <a:rPr lang="en-IN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Part 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95249</xdr:colOff>
      <xdr:row>3</xdr:row>
      <xdr:rowOff>9525</xdr:rowOff>
    </xdr:from>
    <xdr:to>
      <xdr:col>14</xdr:col>
      <xdr:colOff>371475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85419-2C05-6422-C932-D1B8FCBE3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3</xdr:row>
      <xdr:rowOff>138112</xdr:rowOff>
    </xdr:from>
    <xdr:to>
      <xdr:col>14</xdr:col>
      <xdr:colOff>19050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C8C90-4DC2-8B98-47B9-C5DBB2AF7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552449</xdr:colOff>
      <xdr:row>3</xdr:row>
      <xdr:rowOff>147637</xdr:rowOff>
    </xdr:from>
    <xdr:to>
      <xdr:col>13</xdr:col>
      <xdr:colOff>38099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ED3A8-C971-767D-62FF-5BFF8A2E2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509587</xdr:colOff>
      <xdr:row>3</xdr:row>
      <xdr:rowOff>214312</xdr:rowOff>
    </xdr:from>
    <xdr:to>
      <xdr:col>13</xdr:col>
      <xdr:colOff>433387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5BD11-E179-69ED-5479-DE332C248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D53C-0869-41C0-892E-6C476D8158AD}">
  <dimension ref="A1"/>
  <sheetViews>
    <sheetView tabSelected="1" topLeftCell="A7" workbookViewId="0">
      <selection sqref="A1:XFD1048576"/>
    </sheetView>
  </sheetViews>
  <sheetFormatPr defaultRowHeight="15" x14ac:dyDescent="0.25"/>
  <cols>
    <col min="1" max="16384" width="9.140625" style="41"/>
  </cols>
  <sheetData>
    <row r="1" spans="1:1" x14ac:dyDescent="0.25">
      <c r="A1" s="41" t="s">
        <v>31</v>
      </c>
    </row>
  </sheetData>
  <mergeCells count="1">
    <mergeCell ref="A1:XFD10485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000"/>
  <sheetViews>
    <sheetView showGridLines="0" topLeftCell="A4" workbookViewId="0">
      <selection activeCell="C9" sqref="C9"/>
    </sheetView>
  </sheetViews>
  <sheetFormatPr defaultColWidth="14.42578125" defaultRowHeight="15" customHeight="1" x14ac:dyDescent="0.25"/>
  <cols>
    <col min="1" max="1" width="8.7109375" customWidth="1"/>
    <col min="2" max="2" width="26.140625" customWidth="1"/>
    <col min="3" max="3" width="12.28515625" customWidth="1"/>
    <col min="4" max="26" width="8.7109375" customWidth="1"/>
  </cols>
  <sheetData>
    <row r="3" spans="2:3" ht="18.75" x14ac:dyDescent="0.3">
      <c r="B3" s="1" t="s">
        <v>0</v>
      </c>
    </row>
    <row r="5" spans="2:3" x14ac:dyDescent="0.25">
      <c r="B5" s="2" t="s">
        <v>1</v>
      </c>
      <c r="C5" s="3">
        <v>2439535.25</v>
      </c>
    </row>
    <row r="6" spans="2:3" x14ac:dyDescent="0.25">
      <c r="B6" s="4" t="s">
        <v>2</v>
      </c>
      <c r="C6" s="5">
        <v>1188534.6000000001</v>
      </c>
    </row>
    <row r="7" spans="2:3" x14ac:dyDescent="0.25">
      <c r="B7" s="6" t="s">
        <v>3</v>
      </c>
      <c r="C7" s="5">
        <v>951000.65</v>
      </c>
    </row>
    <row r="8" spans="2:3" x14ac:dyDescent="0.25">
      <c r="B8" s="7" t="s">
        <v>4</v>
      </c>
      <c r="C8" s="5"/>
    </row>
    <row r="9" spans="2:3" x14ac:dyDescent="0.25">
      <c r="B9" s="8" t="s">
        <v>5</v>
      </c>
      <c r="C9" s="5">
        <v>390371.02500000002</v>
      </c>
    </row>
    <row r="10" spans="2:3" x14ac:dyDescent="0.25">
      <c r="B10" s="8" t="s">
        <v>6</v>
      </c>
      <c r="C10" s="5">
        <v>55000</v>
      </c>
    </row>
    <row r="11" spans="2:3" x14ac:dyDescent="0.25">
      <c r="B11" s="8" t="s">
        <v>7</v>
      </c>
      <c r="C11" s="5">
        <v>80847.349999999991</v>
      </c>
    </row>
    <row r="12" spans="2:3" x14ac:dyDescent="0.25">
      <c r="B12" s="8" t="s">
        <v>8</v>
      </c>
      <c r="C12" s="5">
        <v>45000</v>
      </c>
    </row>
    <row r="13" spans="2:3" x14ac:dyDescent="0.25">
      <c r="B13" s="8" t="s">
        <v>9</v>
      </c>
      <c r="C13" s="5">
        <v>323869.92499999999</v>
      </c>
    </row>
    <row r="14" spans="2:3" x14ac:dyDescent="0.25">
      <c r="B14" s="8" t="s">
        <v>10</v>
      </c>
      <c r="C14" s="5">
        <v>68865.399999999994</v>
      </c>
    </row>
    <row r="15" spans="2:3" x14ac:dyDescent="0.25">
      <c r="B15" s="6" t="s">
        <v>11</v>
      </c>
      <c r="C15" s="5">
        <v>287046.95</v>
      </c>
    </row>
    <row r="16" spans="2:3" x14ac:dyDescent="0.25">
      <c r="B16" s="9" t="s">
        <v>12</v>
      </c>
      <c r="C16" s="5">
        <f>0.25*C15</f>
        <v>71761.737500000003</v>
      </c>
    </row>
    <row r="17" spans="2:3" x14ac:dyDescent="0.25">
      <c r="B17" s="10" t="s">
        <v>13</v>
      </c>
      <c r="C17" s="11">
        <f>C15-C16</f>
        <v>215285.21250000002</v>
      </c>
    </row>
    <row r="21" spans="2:3" ht="15.75" customHeight="1" x14ac:dyDescent="0.25"/>
    <row r="22" spans="2:3" ht="15.75" customHeight="1" x14ac:dyDescent="0.25"/>
    <row r="23" spans="2:3" ht="15.75" customHeight="1" x14ac:dyDescent="0.25"/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000"/>
  <sheetViews>
    <sheetView showGridLines="0" workbookViewId="0">
      <selection activeCell="C15" sqref="C15"/>
    </sheetView>
  </sheetViews>
  <sheetFormatPr defaultColWidth="14.42578125" defaultRowHeight="15" customHeight="1" x14ac:dyDescent="0.25"/>
  <cols>
    <col min="1" max="1" width="8.7109375" customWidth="1"/>
    <col min="2" max="2" width="10.5703125" customWidth="1"/>
    <col min="3" max="3" width="14" customWidth="1"/>
    <col min="4" max="4" width="16.42578125" customWidth="1"/>
    <col min="5" max="26" width="8.7109375" customWidth="1"/>
  </cols>
  <sheetData>
    <row r="3" spans="2:4" ht="18.75" x14ac:dyDescent="0.3">
      <c r="B3" s="1" t="s">
        <v>14</v>
      </c>
    </row>
    <row r="5" spans="2:4" x14ac:dyDescent="0.25">
      <c r="B5" s="12"/>
      <c r="C5" s="13" t="s">
        <v>15</v>
      </c>
      <c r="D5" s="14" t="s">
        <v>16</v>
      </c>
    </row>
    <row r="6" spans="2:4" x14ac:dyDescent="0.25">
      <c r="B6" s="4">
        <v>2015</v>
      </c>
      <c r="C6" s="15">
        <v>155075.59355813666</v>
      </c>
      <c r="D6" s="16">
        <v>0.08</v>
      </c>
    </row>
    <row r="7" spans="2:4" x14ac:dyDescent="0.25">
      <c r="B7" s="4">
        <v>2016</v>
      </c>
      <c r="C7" s="15">
        <v>193189.15111382809</v>
      </c>
      <c r="D7" s="16">
        <v>0.09</v>
      </c>
    </row>
    <row r="8" spans="2:4" x14ac:dyDescent="0.25">
      <c r="B8" s="4">
        <v>2017</v>
      </c>
      <c r="C8" s="15">
        <v>182970.15906718749</v>
      </c>
      <c r="D8" s="16">
        <v>0.11</v>
      </c>
    </row>
    <row r="9" spans="2:4" x14ac:dyDescent="0.25">
      <c r="B9" s="4">
        <v>2018</v>
      </c>
      <c r="C9" s="15">
        <v>202514.90428125</v>
      </c>
      <c r="D9" s="16">
        <v>0.115</v>
      </c>
    </row>
    <row r="10" spans="2:4" x14ac:dyDescent="0.25">
      <c r="B10" s="4">
        <v>2019</v>
      </c>
      <c r="C10" s="15">
        <v>182098.951875</v>
      </c>
      <c r="D10" s="16">
        <v>0.11</v>
      </c>
    </row>
    <row r="11" spans="2:4" x14ac:dyDescent="0.25">
      <c r="B11" s="17">
        <v>2020</v>
      </c>
      <c r="C11" s="18">
        <v>215285.21250000002</v>
      </c>
      <c r="D11" s="19">
        <v>0.09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000"/>
  <sheetViews>
    <sheetView showGridLines="0" topLeftCell="A2" workbookViewId="0">
      <selection activeCell="P11" sqref="P11"/>
    </sheetView>
  </sheetViews>
  <sheetFormatPr defaultColWidth="14.42578125" defaultRowHeight="15" customHeight="1" x14ac:dyDescent="0.25"/>
  <cols>
    <col min="1" max="2" width="8.7109375" customWidth="1"/>
    <col min="3" max="3" width="12.5703125" customWidth="1"/>
    <col min="4" max="4" width="11" customWidth="1"/>
    <col min="5" max="26" width="8.7109375" customWidth="1"/>
  </cols>
  <sheetData>
    <row r="3" spans="2:4" ht="18.75" x14ac:dyDescent="0.3">
      <c r="B3" s="1" t="s">
        <v>17</v>
      </c>
    </row>
    <row r="5" spans="2:4" x14ac:dyDescent="0.25">
      <c r="C5" s="20" t="s">
        <v>18</v>
      </c>
      <c r="D5" s="21" t="s">
        <v>19</v>
      </c>
    </row>
    <row r="6" spans="2:4" x14ac:dyDescent="0.25">
      <c r="C6" s="4">
        <v>2016</v>
      </c>
      <c r="D6" s="22">
        <v>1653633.8787718401</v>
      </c>
    </row>
    <row r="7" spans="2:4" x14ac:dyDescent="0.25">
      <c r="C7" s="4">
        <v>2017</v>
      </c>
      <c r="D7" s="22">
        <v>1986831.8247520002</v>
      </c>
    </row>
    <row r="8" spans="2:4" x14ac:dyDescent="0.25">
      <c r="C8" s="4">
        <v>2018</v>
      </c>
      <c r="D8" s="22">
        <v>1997534.6356000002</v>
      </c>
    </row>
    <row r="9" spans="2:4" x14ac:dyDescent="0.25">
      <c r="C9" s="4">
        <v>2019</v>
      </c>
      <c r="D9" s="22">
        <v>2187475.4300000002</v>
      </c>
    </row>
    <row r="10" spans="2:4" x14ac:dyDescent="0.25">
      <c r="C10" s="4">
        <v>2020</v>
      </c>
      <c r="D10" s="22">
        <v>2439535.25</v>
      </c>
    </row>
    <row r="11" spans="2:4" x14ac:dyDescent="0.25">
      <c r="B11" s="23" t="s">
        <v>20</v>
      </c>
      <c r="C11" s="24">
        <v>2021</v>
      </c>
      <c r="D11" s="25">
        <v>2584736.1081360602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C1000"/>
  <sheetViews>
    <sheetView showGridLines="0" workbookViewId="0">
      <selection activeCell="K3" sqref="K3"/>
    </sheetView>
  </sheetViews>
  <sheetFormatPr defaultColWidth="14.42578125" defaultRowHeight="15" customHeight="1" x14ac:dyDescent="0.25"/>
  <cols>
    <col min="1" max="1" width="8.7109375" customWidth="1"/>
    <col min="2" max="2" width="21.140625" customWidth="1"/>
    <col min="3" max="3" width="12.28515625" customWidth="1"/>
    <col min="4" max="26" width="8.7109375" customWidth="1"/>
  </cols>
  <sheetData>
    <row r="3" spans="2:3" ht="18.75" x14ac:dyDescent="0.3">
      <c r="B3" s="1" t="s">
        <v>21</v>
      </c>
    </row>
    <row r="5" spans="2:3" x14ac:dyDescent="0.25">
      <c r="B5" s="26" t="s">
        <v>22</v>
      </c>
      <c r="C5" s="27" t="s">
        <v>23</v>
      </c>
    </row>
    <row r="6" spans="2:3" x14ac:dyDescent="0.25">
      <c r="B6" s="28" t="s">
        <v>24</v>
      </c>
      <c r="C6" s="29">
        <v>1188534.6000000001</v>
      </c>
    </row>
    <row r="7" spans="2:3" x14ac:dyDescent="0.25">
      <c r="B7" s="30" t="s">
        <v>5</v>
      </c>
      <c r="C7" s="29">
        <v>390371.02500000002</v>
      </c>
    </row>
    <row r="8" spans="2:3" x14ac:dyDescent="0.25">
      <c r="B8" s="30" t="s">
        <v>9</v>
      </c>
      <c r="C8" s="29">
        <v>323869.92499999999</v>
      </c>
    </row>
    <row r="9" spans="2:3" x14ac:dyDescent="0.25">
      <c r="B9" s="30" t="s">
        <v>7</v>
      </c>
      <c r="C9" s="29">
        <v>80847.349999999991</v>
      </c>
    </row>
    <row r="10" spans="2:3" x14ac:dyDescent="0.25">
      <c r="B10" s="31" t="s">
        <v>8</v>
      </c>
      <c r="C10" s="32">
        <f>SUM(C15:C18)</f>
        <v>180115.4</v>
      </c>
    </row>
    <row r="13" spans="2:3" x14ac:dyDescent="0.25">
      <c r="B13" s="33" t="s">
        <v>25</v>
      </c>
    </row>
    <row r="15" spans="2:3" x14ac:dyDescent="0.25">
      <c r="B15" s="34" t="s">
        <v>10</v>
      </c>
      <c r="C15" s="35">
        <v>68865.399999999994</v>
      </c>
    </row>
    <row r="16" spans="2:3" x14ac:dyDescent="0.25">
      <c r="B16" s="30" t="s">
        <v>6</v>
      </c>
      <c r="C16" s="29">
        <v>55000</v>
      </c>
    </row>
    <row r="17" spans="2:3" x14ac:dyDescent="0.25">
      <c r="B17" s="30" t="s">
        <v>8</v>
      </c>
      <c r="C17" s="29">
        <v>45000</v>
      </c>
    </row>
    <row r="18" spans="2:3" x14ac:dyDescent="0.25">
      <c r="B18" s="31" t="s">
        <v>12</v>
      </c>
      <c r="C18" s="32">
        <f>0.25*C17</f>
        <v>11250</v>
      </c>
    </row>
    <row r="21" spans="2:3" ht="15.75" customHeight="1" x14ac:dyDescent="0.25"/>
    <row r="22" spans="2:3" ht="15.75" customHeight="1" x14ac:dyDescent="0.25"/>
    <row r="23" spans="2:3" ht="15.75" customHeight="1" x14ac:dyDescent="0.25"/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5:C5" xr:uid="{00000000-0009-0000-0000-000003000000}">
    <sortState xmlns:xlrd2="http://schemas.microsoft.com/office/spreadsheetml/2017/richdata2" ref="B5:C5">
      <sortCondition descending="1" ref="C5"/>
    </sortState>
  </autoFilter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E1000"/>
  <sheetViews>
    <sheetView showGridLines="0" workbookViewId="0">
      <selection activeCell="M2" sqref="M2"/>
    </sheetView>
  </sheetViews>
  <sheetFormatPr defaultColWidth="14.42578125" defaultRowHeight="15" customHeight="1" x14ac:dyDescent="0.25"/>
  <cols>
    <col min="1" max="1" width="8.7109375" customWidth="1"/>
    <col min="2" max="2" width="18" customWidth="1"/>
    <col min="3" max="26" width="8.7109375" customWidth="1"/>
  </cols>
  <sheetData>
    <row r="4" spans="2:5" ht="18.75" x14ac:dyDescent="0.3">
      <c r="B4" s="1" t="s">
        <v>26</v>
      </c>
    </row>
    <row r="6" spans="2:5" x14ac:dyDescent="0.25">
      <c r="B6" s="36" t="s">
        <v>27</v>
      </c>
      <c r="C6" s="37" t="s">
        <v>28</v>
      </c>
      <c r="D6" s="37" t="s">
        <v>29</v>
      </c>
      <c r="E6" s="38" t="s">
        <v>30</v>
      </c>
    </row>
    <row r="7" spans="2:5" x14ac:dyDescent="0.25">
      <c r="B7" s="4" t="s">
        <v>5</v>
      </c>
      <c r="C7" s="39">
        <v>300000</v>
      </c>
      <c r="D7" s="39">
        <v>210000</v>
      </c>
      <c r="E7" s="16">
        <f t="shared" ref="E7:E8" si="0">D7/C7</f>
        <v>0.7</v>
      </c>
    </row>
    <row r="8" spans="2:5" x14ac:dyDescent="0.25">
      <c r="B8" s="17" t="s">
        <v>9</v>
      </c>
      <c r="C8" s="40">
        <v>270000</v>
      </c>
      <c r="D8" s="40">
        <v>165000</v>
      </c>
      <c r="E8" s="19">
        <f t="shared" si="0"/>
        <v>0.61111111111111116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 &amp; L</vt:lpstr>
      <vt:lpstr>Net profit Line Chart</vt:lpstr>
      <vt:lpstr>Revenue column chart</vt:lpstr>
      <vt:lpstr>Cost analysis Pie chart</vt:lpstr>
      <vt:lpstr>Target Bar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91860</cp:lastModifiedBy>
  <dcterms:created xsi:type="dcterms:W3CDTF">2020-08-28T11:25:48Z</dcterms:created>
  <dcterms:modified xsi:type="dcterms:W3CDTF">2022-07-25T13:14:21Z</dcterms:modified>
</cp:coreProperties>
</file>